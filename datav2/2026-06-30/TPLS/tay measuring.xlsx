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C4" i="1" l="1"/>
</calcChain>
</file>

<file path=xl/sharedStrings.xml><?xml version="1.0" encoding="utf-8"?>
<sst xmlns="http://schemas.openxmlformats.org/spreadsheetml/2006/main" count="20" uniqueCount="11">
  <si>
    <t>dbm = 20</t>
  </si>
  <si>
    <t>V= 1200 mV</t>
  </si>
  <si>
    <t>typ</t>
  </si>
  <si>
    <t>A</t>
  </si>
  <si>
    <t>typ=</t>
  </si>
  <si>
    <t>typ=18</t>
  </si>
  <si>
    <t>Weff:</t>
  </si>
  <si>
    <t>V= 800 mV</t>
  </si>
  <si>
    <t>typ=20</t>
  </si>
  <si>
    <t>V= 400 mV</t>
  </si>
  <si>
    <t>V= 600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</si>
</sst>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Лист1!$D$2:$D$10</c:f>
              <c:numCache>
                <c:formatCode>General</c:formatCode>
                <c:ptCount val="9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</c:numCache>
            </c:numRef>
          </c:xVal>
          <c:yVal>
            <c:numRef>
              <c:f>Лист1!$E$2:$E$10</c:f>
              <c:numCache>
                <c:formatCode>General</c:formatCode>
                <c:ptCount val="9"/>
                <c:pt idx="0">
                  <c:v>0.20630000000000001</c:v>
                </c:pt>
                <c:pt idx="1">
                  <c:v>0.21879999999999999</c:v>
                </c:pt>
                <c:pt idx="2">
                  <c:v>0.22750000000000001</c:v>
                </c:pt>
                <c:pt idx="3">
                  <c:v>0.23150000000000001</c:v>
                </c:pt>
                <c:pt idx="4">
                  <c:v>0.22939999999999999</c:v>
                </c:pt>
                <c:pt idx="5">
                  <c:v>0.2167</c:v>
                </c:pt>
                <c:pt idx="6">
                  <c:v>0.19789999999999999</c:v>
                </c:pt>
                <c:pt idx="7">
                  <c:v>0.1681</c:v>
                </c:pt>
                <c:pt idx="8">
                  <c:v>0.1401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AC-481B-A216-1A95C1E8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194416"/>
        <c:axId val="346197328"/>
      </c:scatterChart>
      <c:valAx>
        <c:axId val="34619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6197328"/>
        <c:crosses val="autoZero"/>
        <c:crossBetween val="midCat"/>
      </c:valAx>
      <c:valAx>
        <c:axId val="3461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619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7539946316908683E-2"/>
          <c:y val="3.9615166949632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Лист1!$I$29:$I$37</c:f>
              <c:numCache>
                <c:formatCode>General</c:formatCode>
                <c:ptCount val="9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  <c:pt idx="8">
                  <c:v>30</c:v>
                </c:pt>
              </c:numCache>
            </c:numRef>
          </c:xVal>
          <c:yVal>
            <c:numRef>
              <c:f>Лист1!$J$29:$J$37</c:f>
              <c:numCache>
                <c:formatCode>General</c:formatCode>
                <c:ptCount val="9"/>
                <c:pt idx="0">
                  <c:v>1635</c:v>
                </c:pt>
                <c:pt idx="1">
                  <c:v>1783</c:v>
                </c:pt>
                <c:pt idx="2">
                  <c:v>1961</c:v>
                </c:pt>
                <c:pt idx="3">
                  <c:v>1994</c:v>
                </c:pt>
                <c:pt idx="4">
                  <c:v>1971</c:v>
                </c:pt>
                <c:pt idx="5">
                  <c:v>1935</c:v>
                </c:pt>
                <c:pt idx="6">
                  <c:v>1873</c:v>
                </c:pt>
                <c:pt idx="7">
                  <c:v>1798</c:v>
                </c:pt>
                <c:pt idx="8">
                  <c:v>1696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8-4DEC-8F89-9D43BFC48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159552"/>
        <c:axId val="342855936"/>
      </c:scatterChart>
      <c:valAx>
        <c:axId val="34615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2855936"/>
        <c:crosses val="autoZero"/>
        <c:crossBetween val="midCat"/>
      </c:valAx>
      <c:valAx>
        <c:axId val="3428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615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Лист1!$N$2:$N$15</c:f>
              <c:numCache>
                <c:formatCode>General</c:formatCode>
                <c:ptCount val="14"/>
                <c:pt idx="0">
                  <c:v>20</c:v>
                </c:pt>
                <c:pt idx="1">
                  <c:v>22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66</c:v>
                </c:pt>
                <c:pt idx="8">
                  <c:v>70</c:v>
                </c:pt>
                <c:pt idx="9">
                  <c:v>76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  <c:pt idx="13">
                  <c:v>110</c:v>
                </c:pt>
              </c:numCache>
            </c:numRef>
          </c:xVal>
          <c:yVal>
            <c:numRef>
              <c:f>Лист1!$O$2:$O$15</c:f>
              <c:numCache>
                <c:formatCode>General</c:formatCode>
                <c:ptCount val="14"/>
                <c:pt idx="0">
                  <c:v>294</c:v>
                </c:pt>
                <c:pt idx="1">
                  <c:v>260</c:v>
                </c:pt>
                <c:pt idx="2">
                  <c:v>386</c:v>
                </c:pt>
                <c:pt idx="3">
                  <c:v>555</c:v>
                </c:pt>
                <c:pt idx="4">
                  <c:v>735</c:v>
                </c:pt>
                <c:pt idx="5">
                  <c:v>760</c:v>
                </c:pt>
                <c:pt idx="6">
                  <c:v>698</c:v>
                </c:pt>
                <c:pt idx="7">
                  <c:v>772</c:v>
                </c:pt>
                <c:pt idx="8">
                  <c:v>730</c:v>
                </c:pt>
                <c:pt idx="9">
                  <c:v>757</c:v>
                </c:pt>
                <c:pt idx="10">
                  <c:v>709</c:v>
                </c:pt>
                <c:pt idx="11">
                  <c:v>741</c:v>
                </c:pt>
                <c:pt idx="12">
                  <c:v>600</c:v>
                </c:pt>
                <c:pt idx="13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3D-4E02-8564-F98C7D6E3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669168"/>
        <c:axId val="405753424"/>
      </c:scatterChart>
      <c:valAx>
        <c:axId val="34466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753424"/>
        <c:crosses val="autoZero"/>
        <c:crossBetween val="midCat"/>
      </c:valAx>
      <c:valAx>
        <c:axId val="4057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66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Лист1!$I$24:$I$48</c:f>
              <c:numCache>
                <c:formatCode>General</c:formatCode>
                <c:ptCount val="2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38</c:v>
                </c:pt>
                <c:pt idx="18">
                  <c:v>40</c:v>
                </c:pt>
                <c:pt idx="19">
                  <c:v>44</c:v>
                </c:pt>
                <c:pt idx="20">
                  <c:v>48</c:v>
                </c:pt>
                <c:pt idx="21">
                  <c:v>52</c:v>
                </c:pt>
                <c:pt idx="22">
                  <c:v>56</c:v>
                </c:pt>
                <c:pt idx="23">
                  <c:v>60</c:v>
                </c:pt>
                <c:pt idx="24">
                  <c:v>64</c:v>
                </c:pt>
              </c:numCache>
            </c:numRef>
          </c:xVal>
          <c:yVal>
            <c:numRef>
              <c:f>Лист1!$J$24:$J$48</c:f>
              <c:numCache>
                <c:formatCode>General</c:formatCode>
                <c:ptCount val="25"/>
                <c:pt idx="0">
                  <c:v>0</c:v>
                </c:pt>
                <c:pt idx="1">
                  <c:v>574</c:v>
                </c:pt>
                <c:pt idx="2">
                  <c:v>886</c:v>
                </c:pt>
                <c:pt idx="3">
                  <c:v>1167</c:v>
                </c:pt>
                <c:pt idx="4">
                  <c:v>1379</c:v>
                </c:pt>
                <c:pt idx="5">
                  <c:v>1635</c:v>
                </c:pt>
                <c:pt idx="6">
                  <c:v>1783</c:v>
                </c:pt>
                <c:pt idx="7">
                  <c:v>1961</c:v>
                </c:pt>
                <c:pt idx="8">
                  <c:v>1994</c:v>
                </c:pt>
                <c:pt idx="9">
                  <c:v>1971</c:v>
                </c:pt>
                <c:pt idx="10">
                  <c:v>1935</c:v>
                </c:pt>
                <c:pt idx="11">
                  <c:v>1873</c:v>
                </c:pt>
                <c:pt idx="12">
                  <c:v>1798</c:v>
                </c:pt>
                <c:pt idx="13">
                  <c:v>1696</c:v>
                </c:pt>
                <c:pt idx="14">
                  <c:v>1660</c:v>
                </c:pt>
                <c:pt idx="15">
                  <c:v>1578</c:v>
                </c:pt>
                <c:pt idx="16">
                  <c:v>1509</c:v>
                </c:pt>
                <c:pt idx="17">
                  <c:v>1432</c:v>
                </c:pt>
                <c:pt idx="18">
                  <c:v>1384</c:v>
                </c:pt>
                <c:pt idx="19">
                  <c:v>1248</c:v>
                </c:pt>
                <c:pt idx="20">
                  <c:v>1247</c:v>
                </c:pt>
                <c:pt idx="21">
                  <c:v>1269</c:v>
                </c:pt>
                <c:pt idx="22">
                  <c:v>1306</c:v>
                </c:pt>
                <c:pt idx="23">
                  <c:v>1407</c:v>
                </c:pt>
                <c:pt idx="24">
                  <c:v>1512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CE-4FFE-B283-F18BDD571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391296"/>
        <c:axId val="352390464"/>
      </c:scatterChart>
      <c:valAx>
        <c:axId val="3523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390464"/>
        <c:crosses val="autoZero"/>
        <c:crossBetween val="midCat"/>
      </c:valAx>
      <c:valAx>
        <c:axId val="3523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39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</xdr:row>
      <xdr:rowOff>102870</xdr:rowOff>
    </xdr:from>
    <xdr:to>
      <xdr:col>4</xdr:col>
      <xdr:colOff>251460</xdr:colOff>
      <xdr:row>25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9</xdr:row>
      <xdr:rowOff>140970</xdr:rowOff>
    </xdr:from>
    <xdr:to>
      <xdr:col>10</xdr:col>
      <xdr:colOff>83820</xdr:colOff>
      <xdr:row>22</xdr:row>
      <xdr:rowOff>7620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449580</xdr:colOff>
      <xdr:row>16</xdr:row>
      <xdr:rowOff>148590</xdr:rowOff>
    </xdr:from>
    <xdr:to>
      <xdr:col>15</xdr:col>
      <xdr:colOff>563880</xdr:colOff>
      <xdr:row>27</xdr:row>
      <xdr:rowOff>83820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182880</xdr:colOff>
      <xdr:row>23</xdr:row>
      <xdr:rowOff>72390</xdr:rowOff>
    </xdr:from>
    <xdr:to>
      <xdr:col>24</xdr:col>
      <xdr:colOff>487680</xdr:colOff>
      <xdr:row>38</xdr:row>
      <xdr:rowOff>72390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A9" workbookViewId="0">
      <selection activeCell="J24" activeCellId="1" sqref="I24:I48 J24:J48"/>
    </sheetView>
  </sheetViews>
  <sheetFormatPr defaultRowHeight="14.4" x14ac:dyDescent="0.3"/>
  <cols>
    <col min="3" max="3" width="10.6640625" bestFit="1" customWidth="1"/>
    <col min="8" max="8" width="9.6640625" bestFit="1" customWidth="1"/>
  </cols>
  <sheetData>
    <row r="1" spans="1:19" x14ac:dyDescent="0.3">
      <c r="A1" t="s">
        <v>0</v>
      </c>
      <c r="C1" t="s">
        <v>1</v>
      </c>
      <c r="D1" t="s">
        <v>2</v>
      </c>
      <c r="E1" t="s">
        <v>3</v>
      </c>
      <c r="H1" t="s">
        <v>7</v>
      </c>
      <c r="I1" t="s">
        <v>2</v>
      </c>
      <c r="J1" t="s">
        <v>3</v>
      </c>
      <c r="M1" t="s">
        <v>9</v>
      </c>
      <c r="N1" t="s">
        <v>2</v>
      </c>
      <c r="O1" t="s">
        <v>3</v>
      </c>
      <c r="Q1" t="s">
        <v>10</v>
      </c>
      <c r="R1" t="s">
        <v>2</v>
      </c>
      <c r="S1" t="s">
        <v>3</v>
      </c>
    </row>
    <row r="2" spans="1:19" x14ac:dyDescent="0.3">
      <c r="C2" t="s">
        <v>5</v>
      </c>
      <c r="D2">
        <v>12</v>
      </c>
      <c r="E2">
        <v>0.20630000000000001</v>
      </c>
      <c r="H2" t="s">
        <v>8</v>
      </c>
      <c r="M2" t="s">
        <v>4</v>
      </c>
      <c r="N2">
        <v>20</v>
      </c>
      <c r="O2">
        <v>294</v>
      </c>
      <c r="Q2" t="s">
        <v>4</v>
      </c>
      <c r="R2">
        <v>20</v>
      </c>
      <c r="S2">
        <v>1153</v>
      </c>
    </row>
    <row r="3" spans="1:19" x14ac:dyDescent="0.3">
      <c r="C3" t="s">
        <v>6</v>
      </c>
      <c r="D3">
        <v>14</v>
      </c>
      <c r="E3">
        <v>0.21879999999999999</v>
      </c>
      <c r="H3" t="s">
        <v>6</v>
      </c>
      <c r="M3" t="s">
        <v>6</v>
      </c>
      <c r="N3">
        <v>22</v>
      </c>
      <c r="O3">
        <v>260</v>
      </c>
      <c r="R3">
        <v>24</v>
      </c>
      <c r="S3">
        <v>1257</v>
      </c>
    </row>
    <row r="4" spans="1:19" x14ac:dyDescent="0.3">
      <c r="C4">
        <f>3.14/18*1000000</f>
        <v>174444.44444444447</v>
      </c>
      <c r="D4">
        <v>16</v>
      </c>
      <c r="E4">
        <v>0.22750000000000001</v>
      </c>
      <c r="H4">
        <f>3.14/20*1000000</f>
        <v>157000</v>
      </c>
      <c r="N4">
        <v>30</v>
      </c>
      <c r="O4">
        <v>386</v>
      </c>
      <c r="R4">
        <v>28</v>
      </c>
      <c r="S4">
        <v>1351</v>
      </c>
    </row>
    <row r="5" spans="1:19" x14ac:dyDescent="0.3">
      <c r="D5">
        <v>18</v>
      </c>
      <c r="E5">
        <v>0.23150000000000001</v>
      </c>
      <c r="N5">
        <v>40</v>
      </c>
      <c r="O5">
        <v>555</v>
      </c>
    </row>
    <row r="6" spans="1:19" x14ac:dyDescent="0.3">
      <c r="D6">
        <v>20</v>
      </c>
      <c r="E6">
        <v>0.22939999999999999</v>
      </c>
      <c r="N6">
        <v>50</v>
      </c>
      <c r="O6">
        <v>735</v>
      </c>
    </row>
    <row r="7" spans="1:19" x14ac:dyDescent="0.3">
      <c r="D7">
        <v>22</v>
      </c>
      <c r="E7">
        <v>0.2167</v>
      </c>
      <c r="N7">
        <v>55</v>
      </c>
      <c r="O7">
        <v>760</v>
      </c>
    </row>
    <row r="8" spans="1:19" x14ac:dyDescent="0.3">
      <c r="D8">
        <v>24</v>
      </c>
      <c r="E8">
        <v>0.19789999999999999</v>
      </c>
      <c r="N8">
        <v>60</v>
      </c>
      <c r="O8">
        <v>698</v>
      </c>
    </row>
    <row r="9" spans="1:19" x14ac:dyDescent="0.3">
      <c r="D9">
        <v>28</v>
      </c>
      <c r="E9">
        <v>0.1681</v>
      </c>
      <c r="N9">
        <v>66</v>
      </c>
      <c r="O9">
        <v>772</v>
      </c>
    </row>
    <row r="10" spans="1:19" x14ac:dyDescent="0.3">
      <c r="D10">
        <v>32</v>
      </c>
      <c r="E10">
        <v>0.1401</v>
      </c>
      <c r="N10">
        <v>70</v>
      </c>
      <c r="O10">
        <v>730</v>
      </c>
    </row>
    <row r="11" spans="1:19" x14ac:dyDescent="0.3">
      <c r="N11">
        <v>76</v>
      </c>
      <c r="O11">
        <v>757</v>
      </c>
    </row>
    <row r="12" spans="1:19" x14ac:dyDescent="0.3">
      <c r="N12">
        <v>80</v>
      </c>
      <c r="O12">
        <v>709</v>
      </c>
    </row>
    <row r="13" spans="1:19" x14ac:dyDescent="0.3">
      <c r="N13">
        <v>90</v>
      </c>
      <c r="O13">
        <v>741</v>
      </c>
    </row>
    <row r="14" spans="1:19" x14ac:dyDescent="0.3">
      <c r="N14">
        <v>100</v>
      </c>
      <c r="O14">
        <v>600</v>
      </c>
    </row>
    <row r="15" spans="1:19" x14ac:dyDescent="0.3">
      <c r="N15">
        <v>110</v>
      </c>
      <c r="O15">
        <v>600</v>
      </c>
    </row>
    <row r="24" spans="9:10" x14ac:dyDescent="0.3">
      <c r="I24">
        <v>4</v>
      </c>
      <c r="J24">
        <v>0</v>
      </c>
    </row>
    <row r="25" spans="9:10" x14ac:dyDescent="0.3">
      <c r="I25">
        <v>6</v>
      </c>
      <c r="J25">
        <v>574</v>
      </c>
    </row>
    <row r="26" spans="9:10" x14ac:dyDescent="0.3">
      <c r="I26">
        <v>8</v>
      </c>
      <c r="J26">
        <v>886</v>
      </c>
    </row>
    <row r="27" spans="9:10" x14ac:dyDescent="0.3">
      <c r="I27">
        <v>10</v>
      </c>
      <c r="J27">
        <v>1167</v>
      </c>
    </row>
    <row r="28" spans="9:10" x14ac:dyDescent="0.3">
      <c r="I28">
        <v>12</v>
      </c>
      <c r="J28">
        <v>1379</v>
      </c>
    </row>
    <row r="29" spans="9:10" x14ac:dyDescent="0.3">
      <c r="I29">
        <v>14</v>
      </c>
      <c r="J29">
        <v>1635</v>
      </c>
    </row>
    <row r="30" spans="9:10" x14ac:dyDescent="0.3">
      <c r="I30">
        <v>16</v>
      </c>
      <c r="J30">
        <v>1783</v>
      </c>
    </row>
    <row r="31" spans="9:10" x14ac:dyDescent="0.3">
      <c r="I31">
        <v>18</v>
      </c>
      <c r="J31">
        <v>1961</v>
      </c>
    </row>
    <row r="32" spans="9:10" x14ac:dyDescent="0.3">
      <c r="I32">
        <v>20</v>
      </c>
      <c r="J32">
        <v>1994</v>
      </c>
    </row>
    <row r="33" spans="9:10" x14ac:dyDescent="0.3">
      <c r="I33">
        <v>22</v>
      </c>
      <c r="J33">
        <v>1971</v>
      </c>
    </row>
    <row r="34" spans="9:10" x14ac:dyDescent="0.3">
      <c r="I34">
        <v>24</v>
      </c>
      <c r="J34">
        <v>1935</v>
      </c>
    </row>
    <row r="35" spans="9:10" x14ac:dyDescent="0.3">
      <c r="I35">
        <v>26</v>
      </c>
      <c r="J35">
        <v>1873</v>
      </c>
    </row>
    <row r="36" spans="9:10" x14ac:dyDescent="0.3">
      <c r="I36">
        <v>28</v>
      </c>
      <c r="J36">
        <v>1798</v>
      </c>
    </row>
    <row r="37" spans="9:10" x14ac:dyDescent="0.3">
      <c r="I37">
        <v>30</v>
      </c>
      <c r="J37">
        <v>1696</v>
      </c>
    </row>
    <row r="38" spans="9:10" x14ac:dyDescent="0.3">
      <c r="I38">
        <v>32</v>
      </c>
      <c r="J38">
        <v>1660</v>
      </c>
    </row>
    <row r="39" spans="9:10" x14ac:dyDescent="0.3">
      <c r="I39">
        <v>34</v>
      </c>
      <c r="J39">
        <v>1578</v>
      </c>
    </row>
    <row r="40" spans="9:10" x14ac:dyDescent="0.3">
      <c r="I40">
        <v>36</v>
      </c>
      <c r="J40">
        <v>1509</v>
      </c>
    </row>
    <row r="41" spans="9:10" x14ac:dyDescent="0.3">
      <c r="I41">
        <v>38</v>
      </c>
      <c r="J41">
        <v>1432</v>
      </c>
    </row>
    <row r="42" spans="9:10" x14ac:dyDescent="0.3">
      <c r="I42">
        <v>40</v>
      </c>
      <c r="J42">
        <v>1384</v>
      </c>
    </row>
    <row r="43" spans="9:10" x14ac:dyDescent="0.3">
      <c r="I43">
        <v>44</v>
      </c>
      <c r="J43">
        <v>1248</v>
      </c>
    </row>
    <row r="44" spans="9:10" x14ac:dyDescent="0.3">
      <c r="I44">
        <v>48</v>
      </c>
      <c r="J44">
        <v>1247</v>
      </c>
    </row>
    <row r="45" spans="9:10" x14ac:dyDescent="0.3">
      <c r="I45">
        <v>52</v>
      </c>
      <c r="J45">
        <v>1269</v>
      </c>
    </row>
    <row r="46" spans="9:10" x14ac:dyDescent="0.3">
      <c r="I46">
        <v>56</v>
      </c>
      <c r="J46">
        <v>1306</v>
      </c>
    </row>
    <row r="47" spans="9:10" x14ac:dyDescent="0.3">
      <c r="I47">
        <v>60</v>
      </c>
      <c r="J47">
        <v>1407</v>
      </c>
    </row>
    <row r="48" spans="9:10" x14ac:dyDescent="0.3">
      <c r="I48">
        <v>64</v>
      </c>
      <c r="J48">
        <v>1512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2026-07-01T06:05:03Z</dcterms:modified>
</cp:coreProperties>
</file>